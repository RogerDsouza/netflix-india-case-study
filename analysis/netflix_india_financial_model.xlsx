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Optimization" sheetId="1" state="visible" r:id="rId1"/>
    <sheet name="CLV Analysis" sheetId="2" state="visible" r:id="rId2"/>
    <sheet name="Market Sizing" sheetId="3" state="visible" r:id="rId3"/>
    <sheet name="Churn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#,##0.0"/>
    <numFmt numFmtId="166" formatCode="0.0%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0000FF"/>
      <sz val="12"/>
    </font>
    <font>
      <color rgb="000000FF"/>
    </font>
    <font>
      <b val="1"/>
      <sz val="12"/>
    </font>
    <font>
      <b val="1"/>
    </font>
    <font>
      <b val="1"/>
      <color rgb="00FF0000"/>
      <sz val="11"/>
    </font>
    <font>
      <b val="1"/>
      <color rgb="00FF0000"/>
    </font>
    <font>
      <b val="1"/>
      <sz val="11"/>
    </font>
    <font>
      <color rgb="00FF0000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D5E8F0"/>
        <bgColor rgb="00D5E8F0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0" fontId="0" fillId="0" borderId="0" pivotButton="0" quotePrefix="0" xfId="0"/>
    <xf numFmtId="4" fontId="0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164" fontId="9" fillId="0" borderId="0" pivotButton="0" quotePrefix="0" xfId="0"/>
    <xf numFmtId="0" fontId="10" fillId="0" borderId="0" pivotButton="0" quotePrefix="0" xfId="0"/>
    <xf numFmtId="164" fontId="10" fillId="0" borderId="0" pivotButton="0" quotePrefix="0" xfId="0"/>
    <xf numFmtId="2" fontId="10" fillId="0" borderId="0" pivotButton="0" quotePrefix="0" xfId="0"/>
    <xf numFmtId="0" fontId="5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NETFLIX INDIA - PRICING OPTIMIZATION MODEL</t>
        </is>
      </c>
    </row>
    <row r="3">
      <c r="A3" s="2" t="inlineStr">
        <is>
          <t>KEY ASSUMPTIONS</t>
        </is>
      </c>
    </row>
    <row r="4">
      <c r="A4" t="inlineStr">
        <is>
          <t>Current Price (Mobile Plan)</t>
        </is>
      </c>
      <c r="B4" s="3" t="n">
        <v>2.85</v>
      </c>
    </row>
    <row r="5">
      <c r="A5" t="inlineStr">
        <is>
          <t>Current Subscribers (millions)</t>
        </is>
      </c>
      <c r="B5" s="3" t="n">
        <v>2</v>
      </c>
    </row>
    <row r="6">
      <c r="A6" t="inlineStr">
        <is>
          <t>Price Elasticity</t>
        </is>
      </c>
      <c r="B6" s="3" t="n">
        <v>-1.5</v>
      </c>
    </row>
    <row r="7">
      <c r="A7" t="inlineStr">
        <is>
          <t>Variable Cost per User</t>
        </is>
      </c>
      <c r="B7" s="3" t="n">
        <v>0.5</v>
      </c>
    </row>
    <row r="8">
      <c r="A8" t="inlineStr">
        <is>
          <t>Fixed Costs (millions/month)</t>
        </is>
      </c>
      <c r="B8" s="3" t="n">
        <v>1</v>
      </c>
    </row>
    <row r="11">
      <c r="A11" s="4" t="inlineStr">
        <is>
          <t>PRICE OPTIMIZATION ANALYSIS</t>
        </is>
      </c>
    </row>
    <row r="12">
      <c r="A12" s="5" t="inlineStr">
        <is>
          <t>Price</t>
        </is>
      </c>
      <c r="B12" s="5" t="inlineStr">
        <is>
          <t>Price Change %</t>
        </is>
      </c>
      <c r="C12" s="5" t="inlineStr">
        <is>
          <t>Demand Change %</t>
        </is>
      </c>
      <c r="D12" s="5" t="inlineStr">
        <is>
          <t>Est. Subscribers (M)</t>
        </is>
      </c>
      <c r="E12" s="5" t="inlineStr">
        <is>
          <t>Revenue (M)</t>
        </is>
      </c>
      <c r="F12" s="5" t="inlineStr">
        <is>
          <t>Variable Costs (M)</t>
        </is>
      </c>
      <c r="G12" s="5" t="inlineStr">
        <is>
          <t>Contribution Margin (M)</t>
        </is>
      </c>
      <c r="H12" s="5" t="inlineStr">
        <is>
          <t>Profit (M)</t>
        </is>
      </c>
    </row>
    <row r="13">
      <c r="A13" t="n">
        <v>1.99</v>
      </c>
      <c r="B13" s="6">
        <f>(A13-$B$4)/$B$4</f>
        <v/>
      </c>
      <c r="C13" s="6">
        <f>B13*$B$6</f>
        <v/>
      </c>
      <c r="D13" s="7">
        <f>$B$5*(1+C13)</f>
        <v/>
      </c>
      <c r="E13" s="7">
        <f>A13*D13</f>
        <v/>
      </c>
      <c r="F13" s="7">
        <f>$B$7*D13</f>
        <v/>
      </c>
      <c r="G13" s="7">
        <f>E13-F13</f>
        <v/>
      </c>
      <c r="H13" s="7">
        <f>G13-$B$8</f>
        <v/>
      </c>
    </row>
    <row r="14">
      <c r="A14" t="n">
        <v>2.5</v>
      </c>
      <c r="B14" s="6">
        <f>(A14-$B$4)/$B$4</f>
        <v/>
      </c>
      <c r="C14" s="6">
        <f>B14*$B$6</f>
        <v/>
      </c>
      <c r="D14" s="7">
        <f>$B$5*(1+C14)</f>
        <v/>
      </c>
      <c r="E14" s="7">
        <f>A14*D14</f>
        <v/>
      </c>
      <c r="F14" s="7">
        <f>$B$7*D14</f>
        <v/>
      </c>
      <c r="G14" s="7">
        <f>E14-F14</f>
        <v/>
      </c>
      <c r="H14" s="7">
        <f>G14-$B$8</f>
        <v/>
      </c>
    </row>
    <row r="15">
      <c r="A15" t="n">
        <v>2.85</v>
      </c>
      <c r="B15" s="6">
        <f>(A15-$B$4)/$B$4</f>
        <v/>
      </c>
      <c r="C15" s="6">
        <f>B15*$B$6</f>
        <v/>
      </c>
      <c r="D15" s="7">
        <f>$B$5*(1+C15)</f>
        <v/>
      </c>
      <c r="E15" s="7">
        <f>A15*D15</f>
        <v/>
      </c>
      <c r="F15" s="7">
        <f>$B$7*D15</f>
        <v/>
      </c>
      <c r="G15" s="7">
        <f>E15-F15</f>
        <v/>
      </c>
      <c r="H15" s="7">
        <f>G15-$B$8</f>
        <v/>
      </c>
    </row>
    <row r="16">
      <c r="A16" t="n">
        <v>3.5</v>
      </c>
      <c r="B16" s="6">
        <f>(A16-$B$4)/$B$4</f>
        <v/>
      </c>
      <c r="C16" s="6">
        <f>B16*$B$6</f>
        <v/>
      </c>
      <c r="D16" s="7">
        <f>$B$5*(1+C16)</f>
        <v/>
      </c>
      <c r="E16" s="7">
        <f>A16*D16</f>
        <v/>
      </c>
      <c r="F16" s="7">
        <f>$B$7*D16</f>
        <v/>
      </c>
      <c r="G16" s="7">
        <f>E16-F16</f>
        <v/>
      </c>
      <c r="H16" s="7">
        <f>G16-$B$8</f>
        <v/>
      </c>
    </row>
    <row r="17">
      <c r="A17" t="n">
        <v>4</v>
      </c>
      <c r="B17" s="6">
        <f>(A17-$B$4)/$B$4</f>
        <v/>
      </c>
      <c r="C17" s="6">
        <f>B17*$B$6</f>
        <v/>
      </c>
      <c r="D17" s="7">
        <f>$B$5*(1+C17)</f>
        <v/>
      </c>
      <c r="E17" s="7">
        <f>A17*D17</f>
        <v/>
      </c>
      <c r="F17" s="7">
        <f>$B$7*D17</f>
        <v/>
      </c>
      <c r="G17" s="7">
        <f>E17-F17</f>
        <v/>
      </c>
      <c r="H17" s="7">
        <f>G17-$B$8</f>
        <v/>
      </c>
    </row>
    <row r="18">
      <c r="A18" t="n">
        <v>4.5</v>
      </c>
      <c r="B18" s="6">
        <f>(A18-$B$4)/$B$4</f>
        <v/>
      </c>
      <c r="C18" s="6">
        <f>B18*$B$6</f>
        <v/>
      </c>
      <c r="D18" s="7">
        <f>$B$5*(1+C18)</f>
        <v/>
      </c>
      <c r="E18" s="7">
        <f>A18*D18</f>
        <v/>
      </c>
      <c r="F18" s="7">
        <f>$B$7*D18</f>
        <v/>
      </c>
      <c r="G18" s="7">
        <f>E18-F18</f>
        <v/>
      </c>
      <c r="H18" s="7">
        <f>G18-$B$8</f>
        <v/>
      </c>
    </row>
    <row r="19">
      <c r="A19" t="n">
        <v>5</v>
      </c>
      <c r="B19" s="6">
        <f>(A19-$B$4)/$B$4</f>
        <v/>
      </c>
      <c r="C19" s="6">
        <f>B19*$B$6</f>
        <v/>
      </c>
      <c r="D19" s="7">
        <f>$B$5*(1+C19)</f>
        <v/>
      </c>
      <c r="E19" s="7">
        <f>A19*D19</f>
        <v/>
      </c>
      <c r="F19" s="7">
        <f>$B$7*D19</f>
        <v/>
      </c>
      <c r="G19" s="7">
        <f>E19-F19</f>
        <v/>
      </c>
      <c r="H19" s="7">
        <f>G19-$B$8</f>
        <v/>
      </c>
    </row>
    <row r="21">
      <c r="A21" s="8" t="inlineStr">
        <is>
          <t>OPTIMAL PRICE:</t>
        </is>
      </c>
      <c r="B21" s="9">
        <f>INDEX(A13:A19,MATCH(MAX(H13:H19),H13:H19,0))</f>
        <v/>
      </c>
    </row>
    <row r="22">
      <c r="A22" t="inlineStr">
        <is>
          <t>MAX PROFIT:</t>
        </is>
      </c>
      <c r="B22" s="10">
        <f>MAX(H13:H19)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CUSTOMER LIFETIME VALUE - CALCULUS APPLICATION</t>
        </is>
      </c>
    </row>
    <row r="3">
      <c r="A3" s="2" t="inlineStr">
        <is>
          <t>ASSUMPTIONS</t>
        </is>
      </c>
    </row>
    <row r="4">
      <c r="A4" t="inlineStr">
        <is>
          <t>Monthly ARPU ($)</t>
        </is>
      </c>
      <c r="B4" s="3" t="n">
        <v>2.85</v>
      </c>
    </row>
    <row r="5">
      <c r="A5" t="inlineStr">
        <is>
          <t>Monthly Churn Rate (%)</t>
        </is>
      </c>
      <c r="B5" s="3" t="n">
        <v>0.12</v>
      </c>
    </row>
    <row r="6">
      <c r="A6" t="inlineStr">
        <is>
          <t>Gross Margin (%)</t>
        </is>
      </c>
      <c r="B6" s="3" t="n">
        <v>0.8</v>
      </c>
    </row>
    <row r="7">
      <c r="A7" t="inlineStr">
        <is>
          <t>Monthly Discount Rate (%)</t>
        </is>
      </c>
      <c r="B7" s="3" t="n">
        <v>0.01</v>
      </c>
    </row>
    <row r="8">
      <c r="A8" t="inlineStr">
        <is>
          <t>CAC per Customer ($)</t>
        </is>
      </c>
      <c r="B8" s="3" t="n">
        <v>5</v>
      </c>
    </row>
    <row r="10">
      <c r="A10" s="11" t="inlineStr">
        <is>
          <t>CLV CALCULATION (Using Limits)</t>
        </is>
      </c>
    </row>
    <row r="11">
      <c r="A11" s="5" t="inlineStr">
        <is>
          <t>Month</t>
        </is>
      </c>
      <c r="B11" s="5" t="inlineStr">
        <is>
          <t>Retention Rate</t>
        </is>
      </c>
      <c r="C11" s="5" t="inlineStr">
        <is>
          <t>Expected Customers</t>
        </is>
      </c>
      <c r="D11" s="5" t="inlineStr">
        <is>
          <t>Revenue</t>
        </is>
      </c>
      <c r="E11" s="5" t="inlineStr">
        <is>
          <t>Discounted Value</t>
        </is>
      </c>
      <c r="F11" s="5" t="inlineStr">
        <is>
          <t>Cumulative CLV</t>
        </is>
      </c>
    </row>
    <row r="12">
      <c r="A12" t="n">
        <v>0</v>
      </c>
      <c r="B12">
        <f>(1-$B$5)^A12</f>
        <v/>
      </c>
      <c r="C12">
        <f>B12*100</f>
        <v/>
      </c>
      <c r="D12" s="12">
        <f>C12*$B$4*$B$6</f>
        <v/>
      </c>
      <c r="E12" s="12">
        <f>D12/((1+$B$7)^A12)</f>
        <v/>
      </c>
      <c r="F12" s="12">
        <f>E12</f>
        <v/>
      </c>
    </row>
    <row r="13">
      <c r="A13" t="n">
        <v>1</v>
      </c>
      <c r="B13">
        <f>(1-$B$5)^A13</f>
        <v/>
      </c>
      <c r="C13">
        <f>B13*100</f>
        <v/>
      </c>
      <c r="D13" s="12">
        <f>C13*$B$4*$B$6</f>
        <v/>
      </c>
      <c r="E13" s="12">
        <f>D13/((1+$B$7)^A13)</f>
        <v/>
      </c>
      <c r="F13" s="12">
        <f>F12+E13</f>
        <v/>
      </c>
    </row>
    <row r="14">
      <c r="A14" t="n">
        <v>2</v>
      </c>
      <c r="B14">
        <f>(1-$B$5)^A14</f>
        <v/>
      </c>
      <c r="C14">
        <f>B14*100</f>
        <v/>
      </c>
      <c r="D14" s="12">
        <f>C14*$B$4*$B$6</f>
        <v/>
      </c>
      <c r="E14" s="12">
        <f>D14/((1+$B$7)^A14)</f>
        <v/>
      </c>
      <c r="F14" s="12">
        <f>F13+E14</f>
        <v/>
      </c>
    </row>
    <row r="15">
      <c r="A15" t="n">
        <v>3</v>
      </c>
      <c r="B15">
        <f>(1-$B$5)^A15</f>
        <v/>
      </c>
      <c r="C15">
        <f>B15*100</f>
        <v/>
      </c>
      <c r="D15" s="12">
        <f>C15*$B$4*$B$6</f>
        <v/>
      </c>
      <c r="E15" s="12">
        <f>D15/((1+$B$7)^A15)</f>
        <v/>
      </c>
      <c r="F15" s="12">
        <f>F14+E15</f>
        <v/>
      </c>
    </row>
    <row r="16">
      <c r="A16" t="n">
        <v>4</v>
      </c>
      <c r="B16">
        <f>(1-$B$5)^A16</f>
        <v/>
      </c>
      <c r="C16">
        <f>B16*100</f>
        <v/>
      </c>
      <c r="D16" s="12">
        <f>C16*$B$4*$B$6</f>
        <v/>
      </c>
      <c r="E16" s="12">
        <f>D16/((1+$B$7)^A16)</f>
        <v/>
      </c>
      <c r="F16" s="12">
        <f>F15+E16</f>
        <v/>
      </c>
    </row>
    <row r="17">
      <c r="A17" t="n">
        <v>5</v>
      </c>
      <c r="B17">
        <f>(1-$B$5)^A17</f>
        <v/>
      </c>
      <c r="C17">
        <f>B17*100</f>
        <v/>
      </c>
      <c r="D17" s="12">
        <f>C17*$B$4*$B$6</f>
        <v/>
      </c>
      <c r="E17" s="12">
        <f>D17/((1+$B$7)^A17)</f>
        <v/>
      </c>
      <c r="F17" s="12">
        <f>F16+E17</f>
        <v/>
      </c>
    </row>
    <row r="18">
      <c r="A18" t="n">
        <v>6</v>
      </c>
      <c r="B18">
        <f>(1-$B$5)^A18</f>
        <v/>
      </c>
      <c r="C18">
        <f>B18*100</f>
        <v/>
      </c>
      <c r="D18" s="12">
        <f>C18*$B$4*$B$6</f>
        <v/>
      </c>
      <c r="E18" s="12">
        <f>D18/((1+$B$7)^A18)</f>
        <v/>
      </c>
      <c r="F18" s="12">
        <f>F17+E18</f>
        <v/>
      </c>
    </row>
    <row r="19">
      <c r="A19" t="n">
        <v>7</v>
      </c>
      <c r="B19">
        <f>(1-$B$5)^A19</f>
        <v/>
      </c>
      <c r="C19">
        <f>B19*100</f>
        <v/>
      </c>
      <c r="D19" s="12">
        <f>C19*$B$4*$B$6</f>
        <v/>
      </c>
      <c r="E19" s="12">
        <f>D19/((1+$B$7)^A19)</f>
        <v/>
      </c>
      <c r="F19" s="12">
        <f>F18+E19</f>
        <v/>
      </c>
    </row>
    <row r="20">
      <c r="A20" t="n">
        <v>8</v>
      </c>
      <c r="B20">
        <f>(1-$B$5)^A20</f>
        <v/>
      </c>
      <c r="C20">
        <f>B20*100</f>
        <v/>
      </c>
      <c r="D20" s="12">
        <f>C20*$B$4*$B$6</f>
        <v/>
      </c>
      <c r="E20" s="12">
        <f>D20/((1+$B$7)^A20)</f>
        <v/>
      </c>
      <c r="F20" s="12">
        <f>F19+E20</f>
        <v/>
      </c>
    </row>
    <row r="21">
      <c r="A21" t="n">
        <v>9</v>
      </c>
      <c r="B21">
        <f>(1-$B$5)^A21</f>
        <v/>
      </c>
      <c r="C21">
        <f>B21*100</f>
        <v/>
      </c>
      <c r="D21" s="12">
        <f>C21*$B$4*$B$6</f>
        <v/>
      </c>
      <c r="E21" s="12">
        <f>D21/((1+$B$7)^A21)</f>
        <v/>
      </c>
      <c r="F21" s="12">
        <f>F20+E21</f>
        <v/>
      </c>
    </row>
    <row r="22">
      <c r="A22" t="n">
        <v>10</v>
      </c>
      <c r="B22">
        <f>(1-$B$5)^A22</f>
        <v/>
      </c>
      <c r="C22">
        <f>B22*100</f>
        <v/>
      </c>
      <c r="D22" s="12">
        <f>C22*$B$4*$B$6</f>
        <v/>
      </c>
      <c r="E22" s="12">
        <f>D22/((1+$B$7)^A22)</f>
        <v/>
      </c>
      <c r="F22" s="12">
        <f>F21+E22</f>
        <v/>
      </c>
    </row>
    <row r="23">
      <c r="A23" t="n">
        <v>11</v>
      </c>
      <c r="B23">
        <f>(1-$B$5)^A23</f>
        <v/>
      </c>
      <c r="C23">
        <f>B23*100</f>
        <v/>
      </c>
      <c r="D23" s="12">
        <f>C23*$B$4*$B$6</f>
        <v/>
      </c>
      <c r="E23" s="12">
        <f>D23/((1+$B$7)^A23)</f>
        <v/>
      </c>
      <c r="F23" s="12">
        <f>F22+E23</f>
        <v/>
      </c>
    </row>
    <row r="24">
      <c r="A24" t="n">
        <v>12</v>
      </c>
      <c r="B24">
        <f>(1-$B$5)^A24</f>
        <v/>
      </c>
      <c r="C24">
        <f>B24*100</f>
        <v/>
      </c>
      <c r="D24" s="12">
        <f>C24*$B$4*$B$6</f>
        <v/>
      </c>
      <c r="E24" s="12">
        <f>D24/((1+$B$7)^A24)</f>
        <v/>
      </c>
      <c r="F24" s="12">
        <f>F23+E24</f>
        <v/>
      </c>
    </row>
    <row r="25">
      <c r="A25" t="n">
        <v>13</v>
      </c>
      <c r="B25">
        <f>(1-$B$5)^A25</f>
        <v/>
      </c>
      <c r="C25">
        <f>B25*100</f>
        <v/>
      </c>
      <c r="D25" s="12">
        <f>C25*$B$4*$B$6</f>
        <v/>
      </c>
      <c r="E25" s="12">
        <f>D25/((1+$B$7)^A25)</f>
        <v/>
      </c>
      <c r="F25" s="12">
        <f>F24+E25</f>
        <v/>
      </c>
    </row>
    <row r="26">
      <c r="A26" t="n">
        <v>14</v>
      </c>
      <c r="B26">
        <f>(1-$B$5)^A26</f>
        <v/>
      </c>
      <c r="C26">
        <f>B26*100</f>
        <v/>
      </c>
      <c r="D26" s="12">
        <f>C26*$B$4*$B$6</f>
        <v/>
      </c>
      <c r="E26" s="12">
        <f>D26/((1+$B$7)^A26)</f>
        <v/>
      </c>
      <c r="F26" s="12">
        <f>F25+E26</f>
        <v/>
      </c>
    </row>
    <row r="27">
      <c r="A27" t="n">
        <v>15</v>
      </c>
      <c r="B27">
        <f>(1-$B$5)^A27</f>
        <v/>
      </c>
      <c r="C27">
        <f>B27*100</f>
        <v/>
      </c>
      <c r="D27" s="12">
        <f>C27*$B$4*$B$6</f>
        <v/>
      </c>
      <c r="E27" s="12">
        <f>D27/((1+$B$7)^A27)</f>
        <v/>
      </c>
      <c r="F27" s="12">
        <f>F26+E27</f>
        <v/>
      </c>
    </row>
    <row r="28">
      <c r="A28" t="n">
        <v>16</v>
      </c>
      <c r="B28">
        <f>(1-$B$5)^A28</f>
        <v/>
      </c>
      <c r="C28">
        <f>B28*100</f>
        <v/>
      </c>
      <c r="D28" s="12">
        <f>C28*$B$4*$B$6</f>
        <v/>
      </c>
      <c r="E28" s="12">
        <f>D28/((1+$B$7)^A28)</f>
        <v/>
      </c>
      <c r="F28" s="12">
        <f>F27+E28</f>
        <v/>
      </c>
    </row>
    <row r="29">
      <c r="A29" t="n">
        <v>17</v>
      </c>
      <c r="B29">
        <f>(1-$B$5)^A29</f>
        <v/>
      </c>
      <c r="C29">
        <f>B29*100</f>
        <v/>
      </c>
      <c r="D29" s="12">
        <f>C29*$B$4*$B$6</f>
        <v/>
      </c>
      <c r="E29" s="12">
        <f>D29/((1+$B$7)^A29)</f>
        <v/>
      </c>
      <c r="F29" s="12">
        <f>F28+E29</f>
        <v/>
      </c>
    </row>
    <row r="30">
      <c r="A30" t="n">
        <v>18</v>
      </c>
      <c r="B30">
        <f>(1-$B$5)^A30</f>
        <v/>
      </c>
      <c r="C30">
        <f>B30*100</f>
        <v/>
      </c>
      <c r="D30" s="12">
        <f>C30*$B$4*$B$6</f>
        <v/>
      </c>
      <c r="E30" s="12">
        <f>D30/((1+$B$7)^A30)</f>
        <v/>
      </c>
      <c r="F30" s="12">
        <f>F29+E30</f>
        <v/>
      </c>
    </row>
    <row r="31">
      <c r="A31" t="n">
        <v>19</v>
      </c>
      <c r="B31">
        <f>(1-$B$5)^A31</f>
        <v/>
      </c>
      <c r="C31">
        <f>B31*100</f>
        <v/>
      </c>
      <c r="D31" s="12">
        <f>C31*$B$4*$B$6</f>
        <v/>
      </c>
      <c r="E31" s="12">
        <f>D31/((1+$B$7)^A31)</f>
        <v/>
      </c>
      <c r="F31" s="12">
        <f>F30+E31</f>
        <v/>
      </c>
    </row>
    <row r="32">
      <c r="A32" t="n">
        <v>20</v>
      </c>
      <c r="B32">
        <f>(1-$B$5)^A32</f>
        <v/>
      </c>
      <c r="C32">
        <f>B32*100</f>
        <v/>
      </c>
      <c r="D32" s="12">
        <f>C32*$B$4*$B$6</f>
        <v/>
      </c>
      <c r="E32" s="12">
        <f>D32/((1+$B$7)^A32)</f>
        <v/>
      </c>
      <c r="F32" s="12">
        <f>F31+E32</f>
        <v/>
      </c>
    </row>
    <row r="33">
      <c r="A33" t="n">
        <v>21</v>
      </c>
      <c r="B33">
        <f>(1-$B$5)^A33</f>
        <v/>
      </c>
      <c r="C33">
        <f>B33*100</f>
        <v/>
      </c>
      <c r="D33" s="12">
        <f>C33*$B$4*$B$6</f>
        <v/>
      </c>
      <c r="E33" s="12">
        <f>D33/((1+$B$7)^A33)</f>
        <v/>
      </c>
      <c r="F33" s="12">
        <f>F32+E33</f>
        <v/>
      </c>
    </row>
    <row r="34">
      <c r="A34" t="n">
        <v>22</v>
      </c>
      <c r="B34">
        <f>(1-$B$5)^A34</f>
        <v/>
      </c>
      <c r="C34">
        <f>B34*100</f>
        <v/>
      </c>
      <c r="D34" s="12">
        <f>C34*$B$4*$B$6</f>
        <v/>
      </c>
      <c r="E34" s="12">
        <f>D34/((1+$B$7)^A34)</f>
        <v/>
      </c>
      <c r="F34" s="12">
        <f>F33+E34</f>
        <v/>
      </c>
    </row>
    <row r="35">
      <c r="A35" t="n">
        <v>23</v>
      </c>
      <c r="B35">
        <f>(1-$B$5)^A35</f>
        <v/>
      </c>
      <c r="C35">
        <f>B35*100</f>
        <v/>
      </c>
      <c r="D35" s="12">
        <f>C35*$B$4*$B$6</f>
        <v/>
      </c>
      <c r="E35" s="12">
        <f>D35/((1+$B$7)^A35)</f>
        <v/>
      </c>
      <c r="F35" s="12">
        <f>F34+E35</f>
        <v/>
      </c>
    </row>
    <row r="36">
      <c r="A36" t="n">
        <v>24</v>
      </c>
      <c r="B36">
        <f>(1-$B$5)^A36</f>
        <v/>
      </c>
      <c r="C36">
        <f>B36*100</f>
        <v/>
      </c>
      <c r="D36" s="12">
        <f>C36*$B$4*$B$6</f>
        <v/>
      </c>
      <c r="E36" s="12">
        <f>D36/((1+$B$7)^A36)</f>
        <v/>
      </c>
      <c r="F36" s="12">
        <f>F35+E36</f>
        <v/>
      </c>
    </row>
    <row r="39">
      <c r="A39" s="13" t="inlineStr">
        <is>
          <t>Theoretical CLV (Limit as n→∞):</t>
        </is>
      </c>
      <c r="B39" s="14">
        <f>$B$4*$B$6/($B$5+$B$7)</f>
        <v/>
      </c>
    </row>
    <row r="40">
      <c r="A40" t="inlineStr">
        <is>
          <t>CLV from 24-month calculation:</t>
        </is>
      </c>
      <c r="B40" s="12">
        <f>F36</f>
        <v/>
      </c>
    </row>
    <row r="42">
      <c r="A42" s="15" t="inlineStr">
        <is>
          <t>Net CLV (CLV - CAC):</t>
        </is>
      </c>
      <c r="B42" s="16">
        <f>B39-$B$8</f>
        <v/>
      </c>
    </row>
    <row r="43">
      <c r="A43" t="inlineStr">
        <is>
          <t>LTV:CAC Ratio:</t>
        </is>
      </c>
      <c r="B43" s="17">
        <f>B39/$B$8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INDIA MARKET OPPORTUNITY - TAM ANALYSIS</t>
        </is>
      </c>
    </row>
    <row r="3">
      <c r="A3" s="4" t="inlineStr">
        <is>
          <t>MARKET DATA</t>
        </is>
      </c>
    </row>
    <row r="4">
      <c r="A4" s="18" t="inlineStr">
        <is>
          <t>Segment</t>
        </is>
      </c>
      <c r="B4" s="18" t="inlineStr">
        <is>
          <t>Tier</t>
        </is>
      </c>
      <c r="C4" s="18" t="inlineStr">
        <is>
          <t>Viewers (M)</t>
        </is>
      </c>
      <c r="D4" s="18" t="inlineStr">
        <is>
          <t>WTP ($)</t>
        </is>
      </c>
      <c r="E4" s="18" t="inlineStr">
        <is>
          <t>Conversion %</t>
        </is>
      </c>
      <c r="F4" s="18" t="inlineStr">
        <is>
          <t>Potential Subs (M)</t>
        </is>
      </c>
      <c r="G4" s="18" t="inlineStr">
        <is>
          <t>Annual Revenue (M)</t>
        </is>
      </c>
    </row>
    <row r="5">
      <c r="A5" t="inlineStr">
        <is>
          <t>Premium Urban</t>
        </is>
      </c>
      <c r="B5" t="inlineStr">
        <is>
          <t>Tier_1</t>
        </is>
      </c>
      <c r="C5" s="19" t="n">
        <v>35</v>
      </c>
      <c r="D5" s="12" t="n">
        <v>10</v>
      </c>
      <c r="E5" s="20" t="n">
        <v>0.15</v>
      </c>
      <c r="F5" s="7">
        <f>C5*E5</f>
        <v/>
      </c>
      <c r="G5" s="12">
        <f>F5*D5*12</f>
        <v/>
      </c>
    </row>
    <row r="6">
      <c r="A6" t="inlineStr">
        <is>
          <t>Mid Urban</t>
        </is>
      </c>
      <c r="B6" t="inlineStr">
        <is>
          <t>Tier_1</t>
        </is>
      </c>
      <c r="C6" s="19" t="n">
        <v>55</v>
      </c>
      <c r="D6" s="12" t="n">
        <v>5</v>
      </c>
      <c r="E6" s="20" t="n">
        <v>0.1</v>
      </c>
      <c r="F6" s="7">
        <f>C6*E6</f>
        <v/>
      </c>
      <c r="G6" s="12">
        <f>F6*D6*12</f>
        <v/>
      </c>
    </row>
    <row r="7">
      <c r="A7" t="inlineStr">
        <is>
          <t>Value Urban</t>
        </is>
      </c>
      <c r="B7" t="inlineStr">
        <is>
          <t>Tier_2</t>
        </is>
      </c>
      <c r="C7" s="19" t="n">
        <v>80</v>
      </c>
      <c r="D7" s="12" t="n">
        <v>2.5</v>
      </c>
      <c r="E7" s="20" t="n">
        <v>0.08</v>
      </c>
      <c r="F7" s="7">
        <f>C7*E7</f>
        <v/>
      </c>
      <c r="G7" s="12">
        <f>F7*D7*12</f>
        <v/>
      </c>
    </row>
    <row r="8">
      <c r="A8" t="inlineStr">
        <is>
          <t>Small City</t>
        </is>
      </c>
      <c r="B8" t="inlineStr">
        <is>
          <t>Tier_3</t>
        </is>
      </c>
      <c r="C8" s="19" t="n">
        <v>90</v>
      </c>
      <c r="D8" s="12" t="n">
        <v>1.5</v>
      </c>
      <c r="E8" s="20" t="n">
        <v>0.05</v>
      </c>
      <c r="F8" s="7">
        <f>C8*E8</f>
        <v/>
      </c>
      <c r="G8" s="12">
        <f>F8*D8*12</f>
        <v/>
      </c>
    </row>
    <row r="9">
      <c r="A9" t="inlineStr">
        <is>
          <t>Rural Digital</t>
        </is>
      </c>
      <c r="B9" t="inlineStr">
        <is>
          <t>Rural</t>
        </is>
      </c>
      <c r="C9" s="19" t="n">
        <v>40</v>
      </c>
      <c r="D9" s="12" t="n">
        <v>0.8</v>
      </c>
      <c r="E9" s="20" t="n">
        <v>0.02</v>
      </c>
      <c r="F9" s="7">
        <f>C9*E9</f>
        <v/>
      </c>
      <c r="G9" s="12">
        <f>F9*D9*12</f>
        <v/>
      </c>
    </row>
    <row r="11">
      <c r="A11" s="21" t="inlineStr">
        <is>
          <t>TOTAL MARKET OPPORTUNITY</t>
        </is>
      </c>
      <c r="B11" s="21">
        <f>SUM(F5:F9)</f>
        <v/>
      </c>
      <c r="C11" t="inlineStr">
        <is>
          <t>million subscribers</t>
        </is>
      </c>
    </row>
    <row r="12">
      <c r="A12" t="inlineStr">
        <is>
          <t>TOTAL REVENUE POTENTIAL</t>
        </is>
      </c>
      <c r="B12" s="13">
        <f>SUM(G5:G9)</f>
        <v/>
      </c>
      <c r="C12" t="inlineStr">
        <is>
          <t>million USD/year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CHURN RATE IMPACT ON CLV - SENSITIVITY ANALYSIS</t>
        </is>
      </c>
    </row>
    <row r="3">
      <c r="A3" t="inlineStr">
        <is>
          <t>BASE ASSUMPTIONS</t>
        </is>
      </c>
    </row>
    <row r="4">
      <c r="A4" t="inlineStr">
        <is>
          <t>ARPU</t>
        </is>
      </c>
      <c r="B4">
        <f>CLV!B4</f>
        <v/>
      </c>
    </row>
    <row r="5">
      <c r="A5" t="inlineStr">
        <is>
          <t>Gross Margin</t>
        </is>
      </c>
      <c r="B5">
        <f>CLV!B6</f>
        <v/>
      </c>
    </row>
    <row r="6">
      <c r="A6" t="inlineStr">
        <is>
          <t>Discount Rate</t>
        </is>
      </c>
      <c r="B6">
        <f>CLV!B7</f>
        <v/>
      </c>
    </row>
    <row r="8">
      <c r="A8" s="18" t="inlineStr">
        <is>
          <t>Churn Rate</t>
        </is>
      </c>
      <c r="B8" s="18" t="inlineStr">
        <is>
          <t>CLV ($)</t>
        </is>
      </c>
      <c r="C8" s="18" t="inlineStr">
        <is>
          <t>Change in CLV</t>
        </is>
      </c>
      <c r="D8" s="18" t="inlineStr">
        <is>
          <t>Marginal Impact (ΔCLV/Δchurn)</t>
        </is>
      </c>
    </row>
    <row r="9">
      <c r="A9" s="20" t="n">
        <v>0.05</v>
      </c>
      <c r="B9" s="12">
        <f>$B$4*$B$5/(A9+$B$6)</f>
        <v/>
      </c>
      <c r="C9" s="12" t="n">
        <v>0</v>
      </c>
      <c r="D9" s="12" t="n">
        <v>0</v>
      </c>
    </row>
    <row r="10">
      <c r="A10" s="20" t="n">
        <v>0.06</v>
      </c>
      <c r="B10" s="12">
        <f>$B$4*$B$5/(A10+$B$6)</f>
        <v/>
      </c>
      <c r="C10" s="12">
        <f>B10-B9</f>
        <v/>
      </c>
      <c r="D10" s="12">
        <f>C10/(A10-A9)</f>
        <v/>
      </c>
    </row>
    <row r="11">
      <c r="A11" s="20" t="n">
        <v>0.07000000000000001</v>
      </c>
      <c r="B11" s="12">
        <f>$B$4*$B$5/(A11+$B$6)</f>
        <v/>
      </c>
      <c r="C11" s="12">
        <f>B11-B10</f>
        <v/>
      </c>
      <c r="D11" s="12">
        <f>C11/(A11-A10)</f>
        <v/>
      </c>
    </row>
    <row r="12">
      <c r="A12" s="20" t="n">
        <v>0.08</v>
      </c>
      <c r="B12" s="12">
        <f>$B$4*$B$5/(A12+$B$6)</f>
        <v/>
      </c>
      <c r="C12" s="12">
        <f>B12-B11</f>
        <v/>
      </c>
      <c r="D12" s="12">
        <f>C12/(A12-A11)</f>
        <v/>
      </c>
    </row>
    <row r="13">
      <c r="A13" s="20" t="n">
        <v>0.09</v>
      </c>
      <c r="B13" s="12">
        <f>$B$4*$B$5/(A13+$B$6)</f>
        <v/>
      </c>
      <c r="C13" s="12">
        <f>B13-B12</f>
        <v/>
      </c>
      <c r="D13" s="12">
        <f>C13/(A13-A12)</f>
        <v/>
      </c>
    </row>
    <row r="14">
      <c r="A14" s="20" t="n">
        <v>0.1</v>
      </c>
      <c r="B14" s="12">
        <f>$B$4*$B$5/(A14+$B$6)</f>
        <v/>
      </c>
      <c r="C14" s="12">
        <f>B14-B13</f>
        <v/>
      </c>
      <c r="D14" s="12">
        <f>C14/(A14-A13)</f>
        <v/>
      </c>
    </row>
    <row r="15">
      <c r="A15" s="20" t="n">
        <v>0.11</v>
      </c>
      <c r="B15" s="12">
        <f>$B$4*$B$5/(A15+$B$6)</f>
        <v/>
      </c>
      <c r="C15" s="12">
        <f>B15-B14</f>
        <v/>
      </c>
      <c r="D15" s="12">
        <f>C15/(A15-A14)</f>
        <v/>
      </c>
    </row>
    <row r="16">
      <c r="A16" s="20" t="n">
        <v>0.12</v>
      </c>
      <c r="B16" s="12">
        <f>$B$4*$B$5/(A16+$B$6)</f>
        <v/>
      </c>
      <c r="C16" s="12">
        <f>B16-B15</f>
        <v/>
      </c>
      <c r="D16" s="12">
        <f>C16/(A16-A15)</f>
        <v/>
      </c>
    </row>
    <row r="17">
      <c r="A17" s="20" t="n">
        <v>0.13</v>
      </c>
      <c r="B17" s="12">
        <f>$B$4*$B$5/(A17+$B$6)</f>
        <v/>
      </c>
      <c r="C17" s="12">
        <f>B17-B16</f>
        <v/>
      </c>
      <c r="D17" s="12">
        <f>C17/(A17-A16)</f>
        <v/>
      </c>
    </row>
    <row r="18">
      <c r="A18" s="20" t="n">
        <v>0.14</v>
      </c>
      <c r="B18" s="12">
        <f>$B$4*$B$5/(A18+$B$6)</f>
        <v/>
      </c>
      <c r="C18" s="12">
        <f>B18-B17</f>
        <v/>
      </c>
      <c r="D18" s="12">
        <f>C18/(A18-A17)</f>
        <v/>
      </c>
    </row>
    <row r="19">
      <c r="A19" s="20" t="n">
        <v>0.15</v>
      </c>
      <c r="B19" s="12">
        <f>$B$4*$B$5/(A19+$B$6)</f>
        <v/>
      </c>
      <c r="C19" s="12">
        <f>B19-B18</f>
        <v/>
      </c>
      <c r="D19" s="12">
        <f>C19/(A19-A18)</f>
        <v/>
      </c>
    </row>
    <row r="20">
      <c r="A20" s="20" t="n">
        <v>0.16</v>
      </c>
      <c r="B20" s="12">
        <f>$B$4*$B$5/(A20+$B$6)</f>
        <v/>
      </c>
      <c r="C20" s="12">
        <f>B20-B19</f>
        <v/>
      </c>
      <c r="D20" s="12">
        <f>C20/(A20-A19)</f>
        <v/>
      </c>
    </row>
    <row r="21">
      <c r="A21" s="20" t="n">
        <v>0.17</v>
      </c>
      <c r="B21" s="12">
        <f>$B$4*$B$5/(A21+$B$6)</f>
        <v/>
      </c>
      <c r="C21" s="12">
        <f>B21-B20</f>
        <v/>
      </c>
      <c r="D21" s="12">
        <f>C21/(A21-A20)</f>
        <v/>
      </c>
    </row>
    <row r="22">
      <c r="A22" s="20" t="n">
        <v>0.18</v>
      </c>
      <c r="B22" s="12">
        <f>$B$4*$B$5/(A22+$B$6)</f>
        <v/>
      </c>
      <c r="C22" s="12">
        <f>B22-B21</f>
        <v/>
      </c>
      <c r="D22" s="12">
        <f>C22/(A22-A21)</f>
        <v/>
      </c>
    </row>
    <row r="23">
      <c r="A23" s="20" t="n">
        <v>0.19</v>
      </c>
      <c r="B23" s="12">
        <f>$B$4*$B$5/(A23+$B$6)</f>
        <v/>
      </c>
      <c r="C23" s="12">
        <f>B23-B22</f>
        <v/>
      </c>
      <c r="D23" s="12">
        <f>C23/(A23-A22)</f>
        <v/>
      </c>
    </row>
    <row r="24">
      <c r="A24" s="20" t="n">
        <v>0.2</v>
      </c>
      <c r="B24" s="12">
        <f>$B$4*$B$5/(A24+$B$6)</f>
        <v/>
      </c>
      <c r="C24" s="12">
        <f>B24-B23</f>
        <v/>
      </c>
      <c r="D24" s="12">
        <f>C24/(A24-A23)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2026-01-22T20:57:27Z</dcterms:created>
  <dcterms:modified xsi:type="dcterms:W3CDTF">2026-01-22T20:57:27Z</dcterms:modified>
</cp:coreProperties>
</file>